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\OneDrive\Desktop\QM1 Quantitative Methods 1\Grades Tracker\"/>
    </mc:Choice>
  </mc:AlternateContent>
  <xr:revisionPtr revIDLastSave="0" documentId="13_ncr:1_{BDD81856-F2EB-43A2-A02E-6BE01F130B52}" xr6:coauthVersionLast="47" xr6:coauthVersionMax="47" xr10:uidLastSave="{00000000-0000-0000-0000-000000000000}"/>
  <bookViews>
    <workbookView xWindow="-120" yWindow="-120" windowWidth="38640" windowHeight="21120" xr2:uid="{897FB934-058B-453A-81CD-DB514C603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  <c r="F41" i="1"/>
  <c r="I37" i="1"/>
  <c r="I38" i="1"/>
  <c r="I39" i="1"/>
  <c r="I40" i="1"/>
  <c r="H36" i="1"/>
  <c r="I36" i="1" s="1"/>
  <c r="H34" i="1" a="1"/>
  <c r="I34" i="1" s="1"/>
  <c r="H35" i="1"/>
  <c r="I35" i="1" s="1"/>
  <c r="C36" i="1"/>
  <c r="C35" i="1"/>
  <c r="I4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<sst xmlns="http://schemas.openxmlformats.org/spreadsheetml/2006/main" count="69" uniqueCount="55">
  <si>
    <t>Week</t>
  </si>
  <si>
    <t>Lecture 1 Watched</t>
  </si>
  <si>
    <t>Lecture 2 Watched</t>
  </si>
  <si>
    <t>Tutorial Attendance</t>
  </si>
  <si>
    <t>Lecture 1 Poll Correctness</t>
  </si>
  <si>
    <t>Lecture 2 Poll Correctness</t>
  </si>
  <si>
    <t>Assignments Due:</t>
  </si>
  <si>
    <t>Topic</t>
  </si>
  <si>
    <t>Descriptive vs. Inferential Statistics.
Visualising Univariate Data</t>
  </si>
  <si>
    <t>Visualing Univariate &amp; Bivariate Data.
Descripitive Statistics</t>
  </si>
  <si>
    <t>Introduction to Probability.</t>
  </si>
  <si>
    <t>Discrete Proability Distributions.</t>
  </si>
  <si>
    <t>Continuous Probability Distributions.</t>
  </si>
  <si>
    <t>Sampling Distribution and Estimation</t>
  </si>
  <si>
    <t>Simple Regression (Part 1)</t>
  </si>
  <si>
    <t>One-Sample Hypothesis Testing (Part 1)</t>
  </si>
  <si>
    <t>One-Sample Hypothesis Testing (Part 2).
Two-Sample Hypothesis Testing (Part 1)</t>
  </si>
  <si>
    <t>Two-Sample Hypothesis Testing (Part 3)</t>
  </si>
  <si>
    <t>Simple Regression (Part 2)</t>
  </si>
  <si>
    <t>Full Worked Example; Assumption Failures.
Review and Exam Preparation</t>
  </si>
  <si>
    <t>Totals:</t>
  </si>
  <si>
    <t>Assessment</t>
  </si>
  <si>
    <t>Rule:</t>
  </si>
  <si>
    <t>Number Finished:</t>
  </si>
  <si>
    <t>Non Teaching Week</t>
  </si>
  <si>
    <t>UNASSESSED</t>
  </si>
  <si>
    <t>Weekly Quiz Score
(Enter Score as x/y)</t>
  </si>
  <si>
    <t>Weekly Online Quiz</t>
  </si>
  <si>
    <t>Weight (%)</t>
  </si>
  <si>
    <t>Assignment 1
9am 24th August</t>
  </si>
  <si>
    <t xml:space="preserve">Mid-Semester Test
9th September </t>
  </si>
  <si>
    <t>Assignment 2
9am 12th October</t>
  </si>
  <si>
    <t>In-Class Participation
Lecture Polling</t>
  </si>
  <si>
    <t>In-Class Participation
Tutorial Participation</t>
  </si>
  <si>
    <t>Assignment 1
(3-4 Students Per Group)</t>
  </si>
  <si>
    <t xml:space="preserve">Assignment 2
(3-4 Students Per Group) </t>
  </si>
  <si>
    <t>Mid-Semester Test</t>
  </si>
  <si>
    <t>2-Hour End of Semester
Examination</t>
  </si>
  <si>
    <t>In-Class Participation
Lecture Polling:</t>
  </si>
  <si>
    <t>In-Class Participation
Tutorial Participation:</t>
  </si>
  <si>
    <t>Weekly Online Quiz:</t>
  </si>
  <si>
    <t>NO RULE</t>
  </si>
  <si>
    <t>Best 18/20.
(Highest is 18/18= 1)</t>
  </si>
  <si>
    <t>Best 10/12. 
(Highest is 10/10=1)</t>
  </si>
  <si>
    <t>Final Grade
Weight * Score</t>
  </si>
  <si>
    <t>Best 9/11.
(Highest is 9/9=1)</t>
  </si>
  <si>
    <r>
      <t xml:space="preserve">Score:
</t>
    </r>
    <r>
      <rPr>
        <b/>
        <sz val="18"/>
        <color theme="9" tint="-0.249977111117893"/>
        <rFont val="Calibri"/>
        <family val="2"/>
      </rPr>
      <t>(Green = Automatically Calculated)</t>
    </r>
    <r>
      <rPr>
        <b/>
        <sz val="18"/>
        <color theme="0"/>
        <rFont val="Calibri"/>
        <family val="2"/>
      </rPr>
      <t xml:space="preserve">
</t>
    </r>
    <r>
      <rPr>
        <b/>
        <sz val="18"/>
        <color rgb="FFFF0000"/>
        <rFont val="Calibri"/>
        <family val="2"/>
      </rPr>
      <t>(RED = Insert Your Score)</t>
    </r>
  </si>
  <si>
    <t>.</t>
  </si>
  <si>
    <t>Total Subject Score ----------&gt;</t>
  </si>
  <si>
    <t>GRADE CALCULATOR 
(GREEN AUTOMATICALLY CALCULATED, RED MANUALLY INSERTED)</t>
  </si>
  <si>
    <t>COURSE SCHEDULE QM1</t>
  </si>
  <si>
    <t>TOTAL POLLS, TUTORIALS, AND QUIZZES FINISHED</t>
  </si>
  <si>
    <t>QUANTITATIVE METHODS 1, ECON10005</t>
  </si>
  <si>
    <t>COURSE TRACKER AND GRADE CALCULATOR</t>
  </si>
  <si>
    <t>Made by 1900236 Menno Brandt.  Email for suggestion and fixes menno.brandt@student.unimelb.edu.au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</si>
</sst>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 x14ac:knownFonts="1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8"/>
      <color rgb="FFFF0000"/>
      <name val="Calibri"/>
      <family val="2"/>
    </font>
    <font>
      <b/>
      <sz val="18"/>
      <color theme="9" tint="-0.249977111117893"/>
      <name val="Calibri"/>
      <family val="2"/>
    </font>
    <font>
      <b/>
      <sz val="30"/>
      <color theme="0"/>
      <name val="Calibri"/>
      <family val="2"/>
    </font>
    <font>
      <sz val="2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/>
      <top/>
      <bottom style="double">
        <color theme="0"/>
      </bottom>
      <diagonal/>
    </border>
    <border>
      <left/>
      <right style="double">
        <color theme="0"/>
      </right>
      <top/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/>
      <top style="double">
        <color theme="0"/>
      </top>
      <bottom/>
      <diagonal/>
    </border>
    <border>
      <left/>
      <right/>
      <top style="double">
        <color theme="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2" fontId="1" fillId="4" borderId="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9" borderId="3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1" fillId="10" borderId="4" xfId="0" applyNumberFormat="1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theme="0"/>
        </left>
        <right/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>
        <left/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top style="double">
          <color theme="0"/>
        </top>
      </border>
    </dxf>
    <dxf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b/>
        <strike val="0"/>
        <outline val="0"/>
        <shadow val="0"/>
        <u val="none"/>
        <vertAlign val="baseline"/>
        <sz val="18"/>
        <name val="Calibri"/>
        <family val="2"/>
        <scheme val="none"/>
      </font>
    </dxf>
    <dxf>
      <border>
        <bottom style="double">
          <color theme="0"/>
        </bottom>
      </border>
    </dxf>
    <dxf>
      <font>
        <b/>
        <strike val="0"/>
        <outline val="0"/>
        <shadow val="0"/>
        <u val="none"/>
        <vertAlign val="baseline"/>
        <sz val="18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/>
        <bottom/>
        <vertical style="double">
          <color theme="0"/>
        </vertical>
        <horizontal style="double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/>
        <top style="double">
          <color theme="1"/>
        </top>
        <bottom style="double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2" tint="-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theme="0"/>
        </right>
        <top style="double">
          <color theme="0"/>
        </top>
        <bottom style="double">
          <color theme="0"/>
        </bottom>
      </border>
    </dxf>
    <dxf>
      <border>
        <top style="double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double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/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65" formatCode="0.0000"/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indent="0" justifyLastLine="0" shrinkToFit="0" readingOrder="0"/>
      <border diagonalUp="0" diagonalDown="0">
        <left/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top style="double">
          <color theme="0"/>
        </top>
      </border>
    </dxf>
    <dxf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b/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indent="0" justifyLastLine="0" shrinkToFit="0" readingOrder="0"/>
    </dxf>
    <dxf>
      <border>
        <bottom style="double">
          <color theme="0"/>
        </bottom>
      </border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/>
        <bottom/>
        <vertical style="double">
          <color theme="0"/>
        </vertical>
        <horizontal style="double">
          <color theme="0"/>
        </horizontal>
      </border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825BA6-8067-4E3F-8C42-7DA64164659B}" name="Table3" displayName="Table3" ref="E33:I41" totalsRowShown="0" headerRowDxfId="37" dataDxfId="35" headerRowBorderDxfId="36" tableBorderDxfId="34" totalsRowBorderDxfId="33">
  <autoFilter ref="E33:I41" xr:uid="{61825BA6-8067-4E3F-8C42-7DA64164659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3EE9392-7E31-4FE4-B1CD-E1706595BB22}" name="Assessment" dataDxfId="32"/>
    <tableColumn id="2" xr3:uid="{C8AEFD28-8A0C-4B4C-9EFD-4396101D85BA}" name="Weight (%)" dataDxfId="31"/>
    <tableColumn id="4" xr3:uid="{3A9459C6-BF66-4A55-8A5B-7F50422D832D}" name="Rule:" dataDxfId="30"/>
    <tableColumn id="5" xr3:uid="{79B89E75-E8DC-4559-9271-875E1C2B7998}" name="Score:_x000a_(Green = Automatically Calculated)_x000a_(RED = Insert Your Score)" dataDxfId="29"/>
    <tableColumn id="6" xr3:uid="{EC6CD2CA-60EA-4B9D-8063-55C7E69CAC0F}" name="Final Grade_x000a_Weight * Score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0542D-24BF-4D29-8CF0-55BFC604479E}" name="Table1" displayName="Table1" ref="B12:J25" totalsRowShown="0" headerRowDxfId="27" dataDxfId="25" headerRowBorderDxfId="26" totalsRowBorderDxfId="24">
  <autoFilter ref="B12:J25" xr:uid="{0FE0542D-24BF-4D29-8CF0-55BFC60447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7FC0C79-9A4C-4AF8-B68F-AA4BBBBBFC1D}" name="Week" dataDxfId="23"/>
    <tableColumn id="2" xr3:uid="{FCA77449-8D38-4BFE-A644-B0026A7432B6}" name="Topic" dataDxfId="22"/>
    <tableColumn id="9" xr3:uid="{252BD151-8A97-46E6-AABF-75FAB64D84A2}" name="Assignments Due:" dataDxfId="21"/>
    <tableColumn id="3" xr3:uid="{16881B3C-8D36-43D2-8566-BD385A4051AD}" name="Lecture 1 Watched" dataDxfId="20"/>
    <tableColumn id="4" xr3:uid="{A5FD2EC8-D637-4053-B2CD-7ED0D2548F74}" name="Lecture 1 Poll Correctness" dataDxfId="19"/>
    <tableColumn id="5" xr3:uid="{CC6D5C35-1DED-401A-ACED-64BF031804BB}" name="Lecture 2 Watched" dataDxfId="18"/>
    <tableColumn id="6" xr3:uid="{D9F170E9-94E3-43A8-B6F4-270DCFF3FEAF}" name="Lecture 2 Poll Correctness" dataDxfId="17"/>
    <tableColumn id="7" xr3:uid="{8D162001-A300-44C5-9C19-00B7DDA3E830}" name="Tutorial Attendance" dataDxfId="16"/>
    <tableColumn id="8" xr3:uid="{F982B0B5-D2E6-4B5B-93C5-61D3C4A492A2}" name="Weekly Quiz Score_x000a_(Enter Score as x/y)" dataDxfId="15"/>
  </tableColumns>
  <tableStyleInfo name="TableStyleDark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127168-E678-484C-B1B5-640EA7E76D2E}" name="Table4" displayName="Table4" ref="B33:C36" totalsRowShown="0" headerRowDxfId="14" dataDxfId="12" headerRowBorderDxfId="13" tableBorderDxfId="11" totalsRowBorderDxfId="10">
  <autoFilter ref="B33:C36" xr:uid="{B0127168-E678-484C-B1B5-640EA7E76D2E}">
    <filterColumn colId="0" hiddenButton="1"/>
    <filterColumn colId="1" hiddenButton="1"/>
  </autoFilter>
  <tableColumns count="2">
    <tableColumn id="1" xr3:uid="{C641DF70-EE87-45A8-8342-9BA10BD3DCFC}" name="." dataDxfId="9"/>
    <tableColumn id="2" xr3:uid="{66FFFC74-F23E-4E1E-AFDA-F0C0E4699512}" name="Number Finished: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8904-6AFA-4983-BAF8-C70D451D53CF}">
  <dimension ref="A1:J54"/>
  <sheetViews>
    <sheetView tabSelected="1" zoomScale="40" zoomScaleNormal="40" workbookViewId="0">
      <selection activeCell="G24" sqref="G24"/>
    </sheetView>
  </sheetViews>
  <sheetFormatPr defaultRowHeight="15" x14ac:dyDescent="0.25"/>
  <cols>
    <col min="1" max="1" width="30.42578125" style="1" bestFit="1" customWidth="1"/>
    <col min="2" max="2" width="55.140625" style="1" bestFit="1" customWidth="1"/>
    <col min="3" max="3" width="76.5703125" style="1" customWidth="1"/>
    <col min="4" max="4" width="53.140625" style="1" customWidth="1"/>
    <col min="5" max="5" width="42" style="1" bestFit="1" customWidth="1"/>
    <col min="6" max="6" width="58.42578125" style="1" bestFit="1" customWidth="1"/>
    <col min="7" max="7" width="42.7109375" style="1" bestFit="1" customWidth="1"/>
    <col min="8" max="8" width="62.28515625" style="1" customWidth="1"/>
    <col min="9" max="9" width="69.7109375" style="1" customWidth="1"/>
    <col min="10" max="10" width="44.140625" style="1" bestFit="1" customWidth="1"/>
    <col min="11" max="11" width="21.42578125" style="1" customWidth="1"/>
    <col min="12" max="12" width="22.7109375" style="1" bestFit="1" customWidth="1"/>
    <col min="13" max="16384" width="9.140625" style="1"/>
  </cols>
  <sheetData>
    <row r="1" spans="1:10" ht="59.25" customHeight="1" thickTop="1" thickBot="1" x14ac:dyDescent="0.3">
      <c r="A1" s="41" t="s">
        <v>52</v>
      </c>
      <c r="B1" s="41"/>
      <c r="C1" s="41"/>
      <c r="D1" s="41"/>
      <c r="E1" s="41"/>
    </row>
    <row r="2" spans="1:10" ht="60.75" customHeight="1" thickTop="1" thickBot="1" x14ac:dyDescent="0.3">
      <c r="A2" s="41" t="s">
        <v>53</v>
      </c>
      <c r="B2" s="41"/>
      <c r="C2" s="41"/>
      <c r="D2" s="41"/>
      <c r="E2" s="41"/>
    </row>
    <row r="3" spans="1:10" ht="27" thickTop="1" x14ac:dyDescent="0.25">
      <c r="A3" s="42" t="s">
        <v>54</v>
      </c>
      <c r="B3" s="42"/>
      <c r="C3" s="42"/>
      <c r="D3" s="42"/>
      <c r="E3" s="42"/>
    </row>
    <row r="9" spans="1:10" ht="11.25" customHeight="1" x14ac:dyDescent="0.25"/>
    <row r="10" spans="1:10" ht="16.5" customHeight="1" x14ac:dyDescent="0.25"/>
    <row r="11" spans="1:10" ht="92.25" customHeight="1" thickBot="1" x14ac:dyDescent="0.3">
      <c r="B11" s="39" t="s">
        <v>50</v>
      </c>
      <c r="C11" s="40"/>
      <c r="D11" s="40"/>
      <c r="E11" s="40"/>
      <c r="F11" s="40"/>
      <c r="G11" s="40"/>
      <c r="H11" s="40"/>
      <c r="I11" s="40"/>
      <c r="J11" s="40"/>
    </row>
    <row r="12" spans="1:10" ht="107.25" customHeight="1" thickTop="1" thickBot="1" x14ac:dyDescent="0.3">
      <c r="B12" s="11" t="s">
        <v>0</v>
      </c>
      <c r="C12" s="10" t="s">
        <v>7</v>
      </c>
      <c r="D12" s="18" t="s">
        <v>6</v>
      </c>
      <c r="E12" s="19" t="s">
        <v>1</v>
      </c>
      <c r="F12" s="19" t="s">
        <v>4</v>
      </c>
      <c r="G12" s="20" t="s">
        <v>2</v>
      </c>
      <c r="H12" s="20" t="s">
        <v>5</v>
      </c>
      <c r="I12" s="21" t="s">
        <v>3</v>
      </c>
      <c r="J12" s="22" t="s">
        <v>26</v>
      </c>
    </row>
    <row r="13" spans="1:10" ht="69.95" customHeight="1" thickTop="1" thickBot="1" x14ac:dyDescent="0.3">
      <c r="B13" s="12">
        <v>1</v>
      </c>
      <c r="C13" s="4" t="s">
        <v>8</v>
      </c>
      <c r="D13" s="16"/>
      <c r="E13" s="7" t="b">
        <v>1</v>
      </c>
      <c r="F13" s="7" t="s">
        <v>25</v>
      </c>
      <c r="G13" s="7" t="b">
        <v>1</v>
      </c>
      <c r="H13" s="7" t="b">
        <v>1</v>
      </c>
      <c r="I13" s="7" t="s">
        <v>25</v>
      </c>
      <c r="J13" s="8">
        <v>1</v>
      </c>
    </row>
    <row r="14" spans="1:10" ht="69.95" customHeight="1" thickTop="1" thickBot="1" x14ac:dyDescent="0.3">
      <c r="B14" s="12">
        <v>2</v>
      </c>
      <c r="C14" s="4" t="s">
        <v>9</v>
      </c>
      <c r="D14" s="16"/>
      <c r="E14" s="7" t="b">
        <v>1</v>
      </c>
      <c r="F14" s="7" t="b">
        <v>1</v>
      </c>
      <c r="G14" s="7" t="b">
        <v>1</v>
      </c>
      <c r="H14" s="7" t="b">
        <v>1</v>
      </c>
      <c r="I14" s="7" t="b">
        <v>1</v>
      </c>
      <c r="J14" s="8">
        <v>1</v>
      </c>
    </row>
    <row r="15" spans="1:10" ht="69.95" customHeight="1" thickTop="1" thickBot="1" x14ac:dyDescent="0.3">
      <c r="B15" s="12">
        <v>3</v>
      </c>
      <c r="C15" s="5" t="s">
        <v>10</v>
      </c>
      <c r="D15" s="16"/>
      <c r="E15" s="7" t="b">
        <v>1</v>
      </c>
      <c r="F15" s="7" t="b">
        <v>1</v>
      </c>
      <c r="G15" s="7" t="b">
        <v>1</v>
      </c>
      <c r="H15" s="7" t="b">
        <v>0</v>
      </c>
      <c r="I15" s="7" t="b">
        <v>0</v>
      </c>
      <c r="J15" s="8">
        <v>1</v>
      </c>
    </row>
    <row r="16" spans="1:10" ht="69.95" customHeight="1" thickTop="1" thickBot="1" x14ac:dyDescent="0.3">
      <c r="B16" s="12">
        <v>4</v>
      </c>
      <c r="C16" s="5" t="s">
        <v>11</v>
      </c>
      <c r="D16" s="16"/>
      <c r="E16" s="7" t="b">
        <v>1</v>
      </c>
      <c r="F16" s="7" t="b">
        <v>1</v>
      </c>
      <c r="G16" s="7" t="b">
        <v>0</v>
      </c>
      <c r="H16" s="7" t="b">
        <v>1</v>
      </c>
      <c r="I16" s="7" t="b">
        <v>1</v>
      </c>
      <c r="J16" s="8">
        <v>1</v>
      </c>
    </row>
    <row r="17" spans="2:10" ht="69.95" customHeight="1" thickTop="1" thickBot="1" x14ac:dyDescent="0.3">
      <c r="B17" s="12">
        <v>5</v>
      </c>
      <c r="C17" s="5" t="s">
        <v>12</v>
      </c>
      <c r="D17" s="17" t="s">
        <v>29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8">
        <v>0</v>
      </c>
    </row>
    <row r="18" spans="2:10" ht="69.95" customHeight="1" thickTop="1" thickBot="1" x14ac:dyDescent="0.3">
      <c r="B18" s="12">
        <v>6</v>
      </c>
      <c r="C18" s="5" t="s">
        <v>13</v>
      </c>
      <c r="D18" s="6"/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8">
        <v>0</v>
      </c>
    </row>
    <row r="19" spans="2:10" ht="84.75" customHeight="1" thickTop="1" thickBot="1" x14ac:dyDescent="0.3">
      <c r="B19" s="12">
        <v>7</v>
      </c>
      <c r="C19" s="5" t="s">
        <v>15</v>
      </c>
      <c r="D19" s="17" t="s">
        <v>30</v>
      </c>
      <c r="E19" s="7" t="b">
        <v>1</v>
      </c>
      <c r="F19" s="7" t="b">
        <v>1</v>
      </c>
      <c r="G19" s="7" t="b">
        <v>0</v>
      </c>
      <c r="H19" s="7" t="b">
        <v>0</v>
      </c>
      <c r="I19" s="7" t="b">
        <v>1</v>
      </c>
      <c r="J19" s="8">
        <v>1</v>
      </c>
    </row>
    <row r="20" spans="2:10" ht="94.5" customHeight="1" thickTop="1" thickBot="1" x14ac:dyDescent="0.3">
      <c r="B20" s="12">
        <v>8</v>
      </c>
      <c r="C20" s="4" t="s">
        <v>16</v>
      </c>
      <c r="D20" s="6"/>
      <c r="E20" s="7" t="b">
        <v>0</v>
      </c>
      <c r="F20" s="7" t="b">
        <v>0</v>
      </c>
      <c r="G20" s="7" t="b">
        <v>1</v>
      </c>
      <c r="H20" s="7" t="b">
        <v>1</v>
      </c>
      <c r="I20" s="7" t="b">
        <v>1</v>
      </c>
      <c r="J20" s="8">
        <v>0</v>
      </c>
    </row>
    <row r="21" spans="2:10" ht="69.95" customHeight="1" thickTop="1" thickBot="1" x14ac:dyDescent="0.3">
      <c r="B21" s="12">
        <v>9</v>
      </c>
      <c r="C21" s="5" t="s">
        <v>17</v>
      </c>
      <c r="D21" s="6"/>
      <c r="E21" s="7" t="b">
        <v>0</v>
      </c>
      <c r="F21" s="7" t="s">
        <v>25</v>
      </c>
      <c r="G21" s="7" t="b">
        <v>0</v>
      </c>
      <c r="H21" s="7" t="s">
        <v>25</v>
      </c>
      <c r="I21" s="7" t="b">
        <v>0</v>
      </c>
      <c r="J21" s="8">
        <v>0</v>
      </c>
    </row>
    <row r="22" spans="2:10" ht="69.95" customHeight="1" thickTop="1" thickBot="1" x14ac:dyDescent="0.3">
      <c r="B22" s="12" t="s">
        <v>24</v>
      </c>
      <c r="C22" s="5" t="s">
        <v>24</v>
      </c>
      <c r="D22" s="6"/>
      <c r="E22" s="7" t="s">
        <v>25</v>
      </c>
      <c r="F22" s="7" t="s">
        <v>25</v>
      </c>
      <c r="G22" s="7" t="s">
        <v>25</v>
      </c>
      <c r="H22" s="7" t="s">
        <v>25</v>
      </c>
      <c r="I22" s="7" t="s">
        <v>25</v>
      </c>
      <c r="J22" s="9" t="s">
        <v>25</v>
      </c>
    </row>
    <row r="23" spans="2:10" ht="69.95" customHeight="1" thickTop="1" thickBot="1" x14ac:dyDescent="0.3">
      <c r="B23" s="12">
        <v>10</v>
      </c>
      <c r="C23" s="5" t="s">
        <v>14</v>
      </c>
      <c r="D23" s="6"/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8">
        <v>0</v>
      </c>
    </row>
    <row r="24" spans="2:10" ht="81" customHeight="1" thickTop="1" thickBot="1" x14ac:dyDescent="0.3">
      <c r="B24" s="12">
        <v>11</v>
      </c>
      <c r="C24" s="5" t="s">
        <v>18</v>
      </c>
      <c r="D24" s="17" t="s">
        <v>31</v>
      </c>
      <c r="E24" s="7" t="b">
        <v>1</v>
      </c>
      <c r="F24" s="7" t="b">
        <v>1</v>
      </c>
      <c r="G24" s="7" t="b">
        <v>1</v>
      </c>
      <c r="H24" s="7" t="b">
        <v>1</v>
      </c>
      <c r="I24" s="7" t="b">
        <v>0</v>
      </c>
      <c r="J24" s="8">
        <v>0</v>
      </c>
    </row>
    <row r="25" spans="2:10" ht="114.75" customHeight="1" thickTop="1" thickBot="1" x14ac:dyDescent="0.3">
      <c r="B25" s="13">
        <v>12</v>
      </c>
      <c r="C25" s="14" t="s">
        <v>19</v>
      </c>
      <c r="D25" s="15"/>
      <c r="E25" s="7" t="b">
        <v>0</v>
      </c>
      <c r="F25" s="7" t="b">
        <v>0</v>
      </c>
      <c r="G25" s="7" t="b">
        <v>0</v>
      </c>
      <c r="H25" s="7" t="s">
        <v>25</v>
      </c>
      <c r="I25" s="7" t="b">
        <v>0</v>
      </c>
      <c r="J25" s="8">
        <v>0</v>
      </c>
    </row>
    <row r="26" spans="2:10" ht="69.75" customHeight="1" thickTop="1" x14ac:dyDescent="0.25"/>
    <row r="31" spans="2:10" ht="17.25" customHeight="1" x14ac:dyDescent="0.25"/>
    <row r="32" spans="2:10" ht="141.75" customHeight="1" x14ac:dyDescent="0.25">
      <c r="B32" s="39" t="s">
        <v>51</v>
      </c>
      <c r="C32" s="39"/>
      <c r="E32" s="38" t="s">
        <v>49</v>
      </c>
      <c r="F32" s="39"/>
      <c r="G32" s="39"/>
      <c r="H32" s="39"/>
      <c r="I32" s="39"/>
    </row>
    <row r="33" spans="2:9" ht="129.75" customHeight="1" thickBot="1" x14ac:dyDescent="0.3">
      <c r="B33" s="23" t="s">
        <v>47</v>
      </c>
      <c r="C33" s="24" t="s">
        <v>23</v>
      </c>
      <c r="E33" s="23" t="s">
        <v>21</v>
      </c>
      <c r="F33" s="3" t="s">
        <v>28</v>
      </c>
      <c r="G33" s="3" t="s">
        <v>22</v>
      </c>
      <c r="H33" s="29" t="s">
        <v>46</v>
      </c>
      <c r="I33" s="30" t="s">
        <v>44</v>
      </c>
    </row>
    <row r="34" spans="2:9" ht="123" customHeight="1" thickTop="1" thickBot="1" x14ac:dyDescent="0.3">
      <c r="B34" s="25" t="s">
        <v>38</v>
      </c>
      <c r="C34" s="26" t="str">
        <f>"Lecture Polls Finished Correctly: "&amp;COUNTIF(Table1[Lecture 1 Poll Correctness],"=TRUE")+COUNTIF(Table1[Lecture 2 Poll Correctness],"=TRUE")</f>
        <v>Lecture Polls Finished Correctly: 10</v>
      </c>
      <c r="E34" s="31" t="s">
        <v>27</v>
      </c>
      <c r="F34" s="5">
        <v>10</v>
      </c>
      <c r="G34" s="4" t="s">
        <v>43</v>
      </c>
      <c r="H34" s="32" cm="1">
        <f t="array" ref="H34">AVERAGE(LARGE(Table1[Weekly Quiz Score
(Enter Score as x/y)],{1,2,3,4,5,6,7,8,9,10}))</f>
        <v>0.5</v>
      </c>
      <c r="I34" s="6">
        <f>Table3[[#This Row],[Weight (%)]]*Table3[[#This Row],[Score:
(Green = Automatically Calculated)
(RED = Insert Your Score)]]</f>
        <v>5</v>
      </c>
    </row>
    <row r="35" spans="2:9" ht="133.5" customHeight="1" thickTop="1" thickBot="1" x14ac:dyDescent="0.3">
      <c r="B35" s="25" t="s">
        <v>39</v>
      </c>
      <c r="C35" s="26" t="str">
        <f>"Tutorials Participated: "&amp;COUNTIF(Table1[Tutorial Attendance],"=TRUE")</f>
        <v>Tutorials Participated: 4</v>
      </c>
      <c r="E35" s="25" t="s">
        <v>32</v>
      </c>
      <c r="F35" s="5">
        <v>6</v>
      </c>
      <c r="G35" s="4" t="s">
        <v>42</v>
      </c>
      <c r="H35" s="33">
        <f>IF(SUM(COUNTIF(Table1[Lecture 1 Poll Correctness],"=TRUE"),COUNTIF(Table1[Lecture 2 Poll Correctness],"=TRUE"))&gt;18,1,SUM(COUNTIF(Table1[Lecture 1 Poll Correctness],"=TRUE"),COUNTIF(Table1[Lecture 2 Poll Correctness],"=TRUE"))/18)</f>
        <v>0.55555555555555558</v>
      </c>
      <c r="I35" s="6">
        <f>Table3[[#This Row],[Weight (%)]]*Table3[[#This Row],[Score:
(Green = Automatically Calculated)
(RED = Insert Your Score)]]</f>
        <v>3.3333333333333335</v>
      </c>
    </row>
    <row r="36" spans="2:9" ht="126.75" customHeight="1" thickTop="1" thickBot="1" x14ac:dyDescent="0.3">
      <c r="B36" s="27" t="s">
        <v>40</v>
      </c>
      <c r="C36" s="28" t="str">
        <f>"Quizzes Finished: "&amp;COUNTIF(Table1[Weekly Quiz Score
(Enter Score as x/y)],"&gt;0.00")</f>
        <v>Quizzes Finished: 5</v>
      </c>
      <c r="E36" s="25" t="s">
        <v>33</v>
      </c>
      <c r="F36" s="5">
        <v>9</v>
      </c>
      <c r="G36" s="4" t="s">
        <v>45</v>
      </c>
      <c r="H36" s="32">
        <f>IF(SUM(COUNTIF(Table1[Tutorial Attendance],"=TRUE"))&gt;9, 1, COUNTIF(Table1[Tutorial Attendance],"=TRUE")/9)</f>
        <v>0.44444444444444442</v>
      </c>
      <c r="I36" s="6">
        <f>Table3[[#This Row],[Weight (%)]]*Table3[[#This Row],[Score:
(Green = Automatically Calculated)
(RED = Insert Your Score)]]</f>
        <v>4</v>
      </c>
    </row>
    <row r="37" spans="2:9" ht="84.75" customHeight="1" thickTop="1" thickBot="1" x14ac:dyDescent="0.3">
      <c r="E37" s="25" t="s">
        <v>34</v>
      </c>
      <c r="F37" s="5">
        <v>3</v>
      </c>
      <c r="G37" s="5" t="s">
        <v>41</v>
      </c>
      <c r="H37" s="34">
        <v>0</v>
      </c>
      <c r="I37" s="6">
        <f>Table3[[#This Row],[Weight (%)]]*Table3[[#This Row],[Score:
(Green = Automatically Calculated)
(RED = Insert Your Score)]]</f>
        <v>0</v>
      </c>
    </row>
    <row r="38" spans="2:9" ht="109.5" customHeight="1" thickTop="1" thickBot="1" x14ac:dyDescent="0.3">
      <c r="E38" s="25" t="s">
        <v>35</v>
      </c>
      <c r="F38" s="5">
        <v>7</v>
      </c>
      <c r="G38" s="5" t="s">
        <v>41</v>
      </c>
      <c r="H38" s="34">
        <v>0</v>
      </c>
      <c r="I38" s="6">
        <f>Table3[[#This Row],[Weight (%)]]*Table3[[#This Row],[Score:
(Green = Automatically Calculated)
(RED = Insert Your Score)]]</f>
        <v>0</v>
      </c>
    </row>
    <row r="39" spans="2:9" ht="157.5" customHeight="1" thickTop="1" thickBot="1" x14ac:dyDescent="0.3">
      <c r="E39" s="25" t="s">
        <v>36</v>
      </c>
      <c r="F39" s="5">
        <v>15</v>
      </c>
      <c r="G39" s="5" t="s">
        <v>41</v>
      </c>
      <c r="H39" s="34">
        <v>0</v>
      </c>
      <c r="I39" s="6">
        <f>Table3[[#This Row],[Weight (%)]]*Table3[[#This Row],[Score:
(Green = Automatically Calculated)
(RED = Insert Your Score)]]</f>
        <v>0</v>
      </c>
    </row>
    <row r="40" spans="2:9" ht="99.75" customHeight="1" thickTop="1" thickBot="1" x14ac:dyDescent="0.3">
      <c r="E40" s="25" t="s">
        <v>37</v>
      </c>
      <c r="F40" s="5">
        <v>50</v>
      </c>
      <c r="G40" s="5" t="s">
        <v>41</v>
      </c>
      <c r="H40" s="34">
        <v>0</v>
      </c>
      <c r="I40" s="6">
        <f>Table3[[#This Row],[Weight (%)]]*Table3[[#This Row],[Score:
(Green = Automatically Calculated)
(RED = Insert Your Score)]]</f>
        <v>0</v>
      </c>
    </row>
    <row r="41" spans="2:9" ht="98.25" customHeight="1" thickTop="1" x14ac:dyDescent="0.25">
      <c r="E41" s="27" t="s">
        <v>20</v>
      </c>
      <c r="F41" s="35">
        <f>SUM($F$34:$F$40)</f>
        <v>100</v>
      </c>
      <c r="G41" s="35"/>
      <c r="H41" s="36" t="s">
        <v>48</v>
      </c>
      <c r="I41" s="37">
        <f>SUM(I$34:I$40)</f>
        <v>12.333333333333334</v>
      </c>
    </row>
    <row r="42" spans="2:9" ht="69.95" customHeight="1" x14ac:dyDescent="0.25"/>
    <row r="43" spans="2:9" ht="69.95" customHeight="1" x14ac:dyDescent="0.25"/>
    <row r="44" spans="2:9" ht="69.95" customHeight="1" x14ac:dyDescent="0.25"/>
    <row r="45" spans="2:9" ht="69.95" customHeight="1" x14ac:dyDescent="0.25"/>
    <row r="46" spans="2:9" ht="69.95" customHeight="1" x14ac:dyDescent="0.25"/>
    <row r="47" spans="2:9" ht="69.95" customHeight="1" x14ac:dyDescent="0.25"/>
    <row r="54" spans="5:5" x14ac:dyDescent="0.25">
      <c r="E54" s="2"/>
    </row>
  </sheetData>
  <mergeCells count="6">
    <mergeCell ref="E32:I32"/>
    <mergeCell ref="B32:C32"/>
    <mergeCell ref="B11:J11"/>
    <mergeCell ref="A1:E1"/>
    <mergeCell ref="A2:E2"/>
    <mergeCell ref="A3:E3"/>
  </mergeCells>
  <conditionalFormatting sqref="E13:I25">
    <cfRule type="cellIs" dxfId="7" priority="13" operator="equal">
      <formula>FALSE</formula>
    </cfRule>
    <cfRule type="cellIs" dxfId="6" priority="14" operator="equal">
      <formula>TRUE</formula>
    </cfRule>
  </conditionalFormatting>
  <conditionalFormatting sqref="E13:J25">
    <cfRule type="cellIs" dxfId="5" priority="1" operator="equal">
      <formula>"UNASSESSED"</formula>
    </cfRule>
  </conditionalFormatting>
  <conditionalFormatting sqref="J13:J21 J23:J25">
    <cfRule type="cellIs" dxfId="4" priority="10" operator="greaterThan">
      <formula>0</formula>
    </cfRule>
    <cfRule type="cellIs" dxfId="3" priority="11" operator="greaterThan">
      <formula>0</formula>
    </cfRule>
    <cfRule type="cellIs" dxfId="2" priority="12" operator="equal">
      <formula>0</formula>
    </cfRule>
  </conditionalFormatting>
  <conditionalFormatting sqref="J22">
    <cfRule type="cellIs" dxfId="1" priority="3" operator="equal">
      <formula>FALSE</formula>
    </cfRule>
    <cfRule type="cellIs" dxfId="0" priority="4" operator="equal">
      <formula>TRUE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Menno Brandt</dc:creator>
  <cp:lastModifiedBy>Menno Brandt</cp:lastModifiedBy>
  <dcterms:created xsi:type="dcterms:W3CDTF">2026-08-25T10:25:53Z</dcterms:created>
  <dcterms:modified xsi:type="dcterms:W3CDTF">2026-08-25T14:01:26Z</dcterms:modified>
</cp:coreProperties>
</file>